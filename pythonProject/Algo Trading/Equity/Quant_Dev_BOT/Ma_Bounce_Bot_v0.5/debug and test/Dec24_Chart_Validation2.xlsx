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urav\CodePonting\pythonProject\Algo Trading\THE FINAL BOT 1\Debug and others\"/>
    </mc:Choice>
  </mc:AlternateContent>
  <xr:revisionPtr revIDLastSave="0" documentId="13_ncr:1_{DDD690E7-5861-422E-AF79-325799AE4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 24 Chart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6" i="1" s="1"/>
</calcChain>
</file>

<file path=xl/sharedStrings.xml><?xml version="1.0" encoding="utf-8"?>
<sst xmlns="http://schemas.openxmlformats.org/spreadsheetml/2006/main" count="78" uniqueCount="72">
  <si>
    <t>#</t>
  </si>
  <si>
    <t>Stock</t>
  </si>
  <si>
    <t>Entry Time</t>
  </si>
  <si>
    <t>Bot Price</t>
  </si>
  <si>
    <t>Chart Price</t>
  </si>
  <si>
    <t>Price Match?</t>
  </si>
  <si>
    <t>Bot MA20</t>
  </si>
  <si>
    <t>Chart MA20</t>
  </si>
  <si>
    <t>MA Match?</t>
  </si>
  <si>
    <t>Bot Distance</t>
  </si>
  <si>
    <t>Actual Distance</t>
  </si>
  <si>
    <t>Valid Signal?</t>
  </si>
  <si>
    <t>Notes</t>
  </si>
  <si>
    <t>1</t>
  </si>
  <si>
    <t>YESBANK</t>
  </si>
  <si>
    <t>10:50 AM</t>
  </si>
  <si>
    <t>21.86</t>
  </si>
  <si>
    <t>21.86-21.88</t>
  </si>
  <si>
    <t>✅</t>
  </si>
  <si>
    <t>21.77</t>
  </si>
  <si>
    <t>21.91</t>
  </si>
  <si>
    <t>❌ -0.14</t>
  </si>
  <si>
    <t>+0.09</t>
  </si>
  <si>
    <t>-0.05</t>
  </si>
  <si>
    <t>❌ WRONG</t>
  </si>
  <si>
    <t>Price BELOW MA! Bot thought +0.09 above</t>
  </si>
  <si>
    <t>2</t>
  </si>
  <si>
    <t>TATASTEEL</t>
  </si>
  <si>
    <t>11:49 AM</t>
  </si>
  <si>
    <t>170.47</t>
  </si>
  <si>
    <t>170.42-170.48</t>
  </si>
  <si>
    <t>169.95</t>
  </si>
  <si>
    <t>170.64</t>
  </si>
  <si>
    <t>❌ -0.69</t>
  </si>
  <si>
    <t>+0.52</t>
  </si>
  <si>
    <t>-0.17</t>
  </si>
  <si>
    <t>Price BELOW MA! Bot thought +0.52 above</t>
  </si>
  <si>
    <t>3</t>
  </si>
  <si>
    <t>ZEEL</t>
  </si>
  <si>
    <t>92.13</t>
  </si>
  <si>
    <t>92.11-92.15</t>
  </si>
  <si>
    <t>91.83</t>
  </si>
  <si>
    <t>92.22</t>
  </si>
  <si>
    <t>❌ -0.39</t>
  </si>
  <si>
    <t>+0.30</t>
  </si>
  <si>
    <t>-0.09</t>
  </si>
  <si>
    <t>Price BELOW MA! Bot thought +0.30 above</t>
  </si>
  <si>
    <t>4</t>
  </si>
  <si>
    <t>SUZLON</t>
  </si>
  <si>
    <t>11:51 AM</t>
  </si>
  <si>
    <t>53.82</t>
  </si>
  <si>
    <t>5</t>
  </si>
  <si>
    <t>IDFC</t>
  </si>
  <si>
    <t>02:31 PM</t>
  </si>
  <si>
    <t>84.30</t>
  </si>
  <si>
    <t>6</t>
  </si>
  <si>
    <t>PNB</t>
  </si>
  <si>
    <t>121.07</t>
  </si>
  <si>
    <t>7</t>
  </si>
  <si>
    <t>MANAPPURAM</t>
  </si>
  <si>
    <t>02:32 PM</t>
  </si>
  <si>
    <t>313.50</t>
  </si>
  <si>
    <t>8</t>
  </si>
  <si>
    <t>SOUTHBANK</t>
  </si>
  <si>
    <t>02:33 PM</t>
  </si>
  <si>
    <t>38.22</t>
  </si>
  <si>
    <t>SUMMARY</t>
  </si>
  <si>
    <t>Total Trades:</t>
  </si>
  <si>
    <t>Correct Signals:</t>
  </si>
  <si>
    <t>Wrong Signals:</t>
  </si>
  <si>
    <t>Accuracy:</t>
  </si>
  <si>
    <t>INSTRUCTIONS: For each trade, check the chart at entry time and fill in:
1. Chart Price (OHLC at that minute)
2. Chart MA20 (blue line value)
3. Calculate Actual Distance = Chart Price - Chart MA20
4. Mark Valid Signal as ✅ CORRECT if distance ≤ 0.30 AND price above MA, else ❌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</si>
</sst>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2" fillId="4" borderId="0" xfId="0" applyFont="1" applyFill="1"/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22" sqref="C22"/>
    </sheetView>
  </sheetViews>
  <sheetFormatPr defaultRowHeight="15" x14ac:dyDescent="0.25"/>
  <cols>
    <col min="1" max="1" width="14.7109375" bestFit="1" customWidth="1"/>
    <col min="2" max="2" width="15" customWidth="1"/>
    <col min="3" max="9" width="12" customWidth="1"/>
    <col min="10" max="12" width="14" customWidth="1"/>
    <col min="13" max="13" width="39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2" t="s">
        <v>25</v>
      </c>
    </row>
    <row r="3" spans="1:13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18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3" t="s">
        <v>24</v>
      </c>
      <c r="M3" s="2" t="s">
        <v>36</v>
      </c>
    </row>
    <row r="4" spans="1:13" x14ac:dyDescent="0.25">
      <c r="A4" s="2" t="s">
        <v>37</v>
      </c>
      <c r="B4" s="2" t="s">
        <v>38</v>
      </c>
      <c r="C4" s="2" t="s">
        <v>28</v>
      </c>
      <c r="D4" s="2" t="s">
        <v>39</v>
      </c>
      <c r="E4" s="2" t="s">
        <v>40</v>
      </c>
      <c r="F4" s="2" t="s">
        <v>18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3" t="s">
        <v>24</v>
      </c>
      <c r="M4" s="2" t="s">
        <v>46</v>
      </c>
    </row>
    <row r="5" spans="1:13" x14ac:dyDescent="0.25">
      <c r="A5" s="2" t="s">
        <v>47</v>
      </c>
      <c r="B5" s="2" t="s">
        <v>48</v>
      </c>
      <c r="C5" s="2" t="s">
        <v>49</v>
      </c>
      <c r="D5" s="2" t="s">
        <v>50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 t="s">
        <v>51</v>
      </c>
      <c r="B6" s="2" t="s">
        <v>52</v>
      </c>
      <c r="C6" s="2" t="s">
        <v>53</v>
      </c>
      <c r="D6" s="2" t="s">
        <v>54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55</v>
      </c>
      <c r="B7" s="2" t="s">
        <v>56</v>
      </c>
      <c r="C7" s="2" t="s">
        <v>53</v>
      </c>
      <c r="D7" s="2" t="s">
        <v>57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58</v>
      </c>
      <c r="B8" s="2" t="s">
        <v>59</v>
      </c>
      <c r="C8" s="2" t="s">
        <v>60</v>
      </c>
      <c r="D8" s="2" t="s">
        <v>61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62</v>
      </c>
      <c r="B9" s="2" t="s">
        <v>63</v>
      </c>
      <c r="C9" s="2" t="s">
        <v>64</v>
      </c>
      <c r="D9" s="2" t="s">
        <v>65</v>
      </c>
      <c r="E9" s="2"/>
      <c r="F9" s="2"/>
      <c r="G9" s="2"/>
      <c r="H9" s="2"/>
      <c r="I9" s="2"/>
      <c r="J9" s="2"/>
      <c r="K9" s="2"/>
      <c r="L9" s="2"/>
      <c r="M9" s="2"/>
    </row>
    <row r="12" spans="1:13" ht="15.75" x14ac:dyDescent="0.25">
      <c r="A12" s="5" t="s">
        <v>66</v>
      </c>
      <c r="B12" s="6"/>
      <c r="C12" s="6"/>
      <c r="D12" s="6"/>
    </row>
    <row r="13" spans="1:13" x14ac:dyDescent="0.25">
      <c r="A13" s="4" t="s">
        <v>67</v>
      </c>
      <c r="B13">
        <v>8</v>
      </c>
    </row>
    <row r="14" spans="1:13" x14ac:dyDescent="0.25">
      <c r="A14" s="4" t="s">
        <v>68</v>
      </c>
      <c r="B14">
        <f>COUNTIF(L2:L9,"✅ CORRECT")</f>
        <v>0</v>
      </c>
    </row>
    <row r="15" spans="1:13" x14ac:dyDescent="0.25">
      <c r="A15" s="4" t="s">
        <v>69</v>
      </c>
      <c r="B15">
        <f>COUNTIF(L2:L9,"❌ WRONG")</f>
        <v>3</v>
      </c>
    </row>
    <row r="16" spans="1:13" x14ac:dyDescent="0.25">
      <c r="A16" s="4" t="s">
        <v>70</v>
      </c>
      <c r="B16" t="str">
        <f>B14/B13*100&amp;"%"</f>
        <v>0%</v>
      </c>
    </row>
    <row r="18" spans="1:13" x14ac:dyDescent="0.25">
      <c r="A18" s="7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</sheetData>
  <mergeCells count="2">
    <mergeCell ref="A12:D12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24 Chart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Baunthiyal</cp:lastModifiedBy>
  <dcterms:created xsi:type="dcterms:W3CDTF">2025-12-24T13:53:08Z</dcterms:created>
  <dcterms:modified xsi:type="dcterms:W3CDTF">2025-12-24T16:39:06Z</dcterms:modified>
</cp:coreProperties>
</file>