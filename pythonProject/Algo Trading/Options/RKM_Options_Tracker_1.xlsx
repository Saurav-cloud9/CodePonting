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Saurav\CodePonting\pythonProject\Algo Trading\Options\"/>
    </mc:Choice>
  </mc:AlternateContent>
  <xr:revisionPtr revIDLastSave="0" documentId="13_ncr:1_{36C53163-4CF6-4BE9-B35F-8C60CC383BB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ily Trade Log" sheetId="1" r:id="rId1"/>
    <sheet name="Spread Entry Tracker" sheetId="2" r:id="rId2"/>
    <sheet name="Weekly Summary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4" i="3" l="1"/>
  <c r="B10" i="3"/>
  <c r="B11" i="2"/>
  <c r="D12" i="2" s="1"/>
  <c r="D11" i="2" l="1"/>
</calcChain>
</file>

<file path=xl/sharedStrings.xml><?xml version="1.0" encoding="utf-8"?>
<sst xmlns="http://schemas.openxmlformats.org/spreadsheetml/2006/main" count="82" uniqueCount="66">
  <si>
    <t>Date</t>
  </si>
  <si>
    <t>Day</t>
  </si>
  <si>
    <t>Spread 1</t>
  </si>
  <si>
    <t>Spread 2</t>
  </si>
  <si>
    <t>Spread 3</t>
  </si>
  <si>
    <t>Spread 4</t>
  </si>
  <si>
    <t>Daily P&amp;L</t>
  </si>
  <si>
    <t>Notes</t>
  </si>
  <si>
    <t>Dec 29</t>
  </si>
  <si>
    <t>Mon</t>
  </si>
  <si>
    <t>₹0</t>
  </si>
  <si>
    <t>Entry day - Place 2 spreads</t>
  </si>
  <si>
    <t>Dec 30</t>
  </si>
  <si>
    <t>Tue</t>
  </si>
  <si>
    <t>Monitor theta decay</t>
  </si>
  <si>
    <t>Dec 31</t>
  </si>
  <si>
    <t>Wed</t>
  </si>
  <si>
    <t>HOLIDAY</t>
  </si>
  <si>
    <t>Market closed</t>
  </si>
  <si>
    <t>Jan 1</t>
  </si>
  <si>
    <t>Thu</t>
  </si>
  <si>
    <t>Jan 2</t>
  </si>
  <si>
    <t>Fri</t>
  </si>
  <si>
    <t>Close positions by 3:15 PM</t>
  </si>
  <si>
    <t>RKM OPTIONS - SPREAD ENTRY FORM</t>
  </si>
  <si>
    <t>Trade Date:</t>
  </si>
  <si>
    <t>Entry Time:</t>
  </si>
  <si>
    <t>NIFTY Spot:</t>
  </si>
  <si>
    <t>VIX Level:</t>
  </si>
  <si>
    <t>SPREAD 1</t>
  </si>
  <si>
    <t>Short Strike (PE):</t>
  </si>
  <si>
    <t>Premium:</t>
  </si>
  <si>
    <t>Long Strike (PE):</t>
  </si>
  <si>
    <t>Delta (Short):</t>
  </si>
  <si>
    <t>Delta (Long):</t>
  </si>
  <si>
    <t>Net Credit:</t>
  </si>
  <si>
    <t>Max Profit:</t>
  </si>
  <si>
    <t>Max Loss:</t>
  </si>
  <si>
    <t>Breakeven:</t>
  </si>
  <si>
    <t>Market Conditions:</t>
  </si>
  <si>
    <t>Sentiment:</t>
  </si>
  <si>
    <t>Why this trade:</t>
  </si>
  <si>
    <t>SPREAD 2</t>
  </si>
  <si>
    <t>(Copy structure from Spread 1)</t>
  </si>
  <si>
    <t>SPREAD 3</t>
  </si>
  <si>
    <t>SPREAD 4</t>
  </si>
  <si>
    <t>WEEKLY PERFORMANCE SUMMARY</t>
  </si>
  <si>
    <t>Week:</t>
  </si>
  <si>
    <t>to</t>
  </si>
  <si>
    <t>Capital Used:</t>
  </si>
  <si>
    <t>PERFORMANCE METRICS</t>
  </si>
  <si>
    <t>Trades Executed:</t>
  </si>
  <si>
    <t>spreads</t>
  </si>
  <si>
    <t>Spreads Won:</t>
  </si>
  <si>
    <t>Spreads Lost:</t>
  </si>
  <si>
    <t>Win Rate:</t>
  </si>
  <si>
    <t>%</t>
  </si>
  <si>
    <t>Gross Premium Collected:</t>
  </si>
  <si>
    <t>₹</t>
  </si>
  <si>
    <t>Total P&amp;L:</t>
  </si>
  <si>
    <t>ROI:</t>
  </si>
  <si>
    <t>KEY LEARNINGS</t>
  </si>
  <si>
    <t>1.</t>
  </si>
  <si>
    <t>2.</t>
  </si>
  <si>
    <t>3.</t>
  </si>
  <si>
    <t>ADJUSTMENTS FOR NEXT WEEK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</si>
</sst>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7" x14ac:knownFonts="1">
    <font>
      <sz val="11"/>
      <color theme="1"/>
      <name val="Calibri"/>
      <family val="2"/>
      <scheme val="minor"/>
    </font>
    <font>
      <b/>
      <sz val="12"/>
      <color rgb="FFFFFFFF"/>
      <name val="Calibri"/>
    </font>
    <font>
      <b/>
      <sz val="14"/>
      <color rgb="FFFFFFFF"/>
      <name val="Calibri"/>
    </font>
    <font>
      <b/>
      <sz val="11"/>
      <name val="Calibri"/>
    </font>
    <font>
      <i/>
      <sz val="11"/>
      <color rgb="FF808080"/>
      <name val="Calibri"/>
    </font>
    <font>
      <sz val="11"/>
      <color rgb="FF0000FF"/>
      <name val="Calibri"/>
    </font>
    <font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FFFF00"/>
        <bgColor rgb="FFFFFF00"/>
      </patternFill>
    </fill>
    <fill>
      <patternFill patternType="solid">
        <fgColor rgb="FF70AD47"/>
        <bgColor rgb="FF70AD47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3" fillId="0" borderId="0" xfId="0" applyFont="1"/>
    <xf numFmtId="0" fontId="4" fillId="0" borderId="0" xfId="0" applyFont="1"/>
    <xf numFmtId="0" fontId="0" fillId="0" borderId="0" xfId="0" applyAlignment="1">
      <alignment horizontal="center"/>
    </xf>
    <xf numFmtId="0" fontId="5" fillId="3" borderId="0" xfId="0" applyFont="1" applyFill="1"/>
    <xf numFmtId="164" fontId="6" fillId="0" borderId="0" xfId="0" applyNumberFormat="1" applyFont="1"/>
    <xf numFmtId="0" fontId="2" fillId="2" borderId="0" xfId="0" applyFont="1" applyFill="1" applyAlignment="1">
      <alignment horizontal="center"/>
    </xf>
    <xf numFmtId="0" fontId="0" fillId="0" borderId="0" xfId="0"/>
    <xf numFmtId="0" fontId="1" fillId="4" borderId="0" xfId="0" applyFont="1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"/>
  <sheetViews>
    <sheetView tabSelected="1" workbookViewId="0">
      <pane ySplit="1" topLeftCell="A2" activePane="bottomLeft" state="frozen"/>
      <selection pane="bottomLeft"/>
    </sheetView>
  </sheetViews>
  <sheetFormatPr defaultRowHeight="15" x14ac:dyDescent="0.25"/>
  <cols>
    <col min="1" max="1" width="12" customWidth="1"/>
    <col min="2" max="2" width="8" customWidth="1"/>
    <col min="3" max="6" width="20" customWidth="1"/>
    <col min="7" max="7" width="15" customWidth="1"/>
    <col min="8" max="8" width="30" customWidth="1"/>
  </cols>
  <sheetData>
    <row r="1" spans="1:8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G2" t="s">
        <v>10</v>
      </c>
      <c r="H2" t="s">
        <v>11</v>
      </c>
    </row>
    <row r="3" spans="1:8" x14ac:dyDescent="0.25">
      <c r="A3" t="s">
        <v>12</v>
      </c>
      <c r="B3" t="s">
        <v>13</v>
      </c>
      <c r="H3" t="s">
        <v>14</v>
      </c>
    </row>
    <row r="4" spans="1:8" x14ac:dyDescent="0.25">
      <c r="A4" t="s">
        <v>15</v>
      </c>
      <c r="B4" t="s">
        <v>16</v>
      </c>
      <c r="C4" t="s">
        <v>17</v>
      </c>
      <c r="D4" t="s">
        <v>17</v>
      </c>
      <c r="G4" t="s">
        <v>10</v>
      </c>
      <c r="H4" t="s">
        <v>18</v>
      </c>
    </row>
    <row r="5" spans="1:8" x14ac:dyDescent="0.25">
      <c r="A5" t="s">
        <v>19</v>
      </c>
      <c r="B5" t="s">
        <v>20</v>
      </c>
      <c r="C5" t="s">
        <v>17</v>
      </c>
      <c r="D5" t="s">
        <v>17</v>
      </c>
      <c r="G5" t="s">
        <v>10</v>
      </c>
      <c r="H5" t="s">
        <v>18</v>
      </c>
    </row>
    <row r="6" spans="1:8" x14ac:dyDescent="0.25">
      <c r="A6" t="s">
        <v>21</v>
      </c>
      <c r="B6" t="s">
        <v>22</v>
      </c>
      <c r="H6" t="s">
        <v>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39"/>
  <sheetViews>
    <sheetView workbookViewId="0">
      <selection activeCell="I12" sqref="I12"/>
    </sheetView>
  </sheetViews>
  <sheetFormatPr defaultRowHeight="15" x14ac:dyDescent="0.25"/>
  <cols>
    <col min="1" max="1" width="20" customWidth="1"/>
    <col min="2" max="2" width="15" customWidth="1"/>
    <col min="3" max="3" width="20" customWidth="1"/>
    <col min="4" max="4" width="15" customWidth="1"/>
  </cols>
  <sheetData>
    <row r="1" spans="1:4" ht="18.75" x14ac:dyDescent="0.3">
      <c r="A1" s="8" t="s">
        <v>24</v>
      </c>
      <c r="B1" s="9"/>
      <c r="C1" s="9"/>
      <c r="D1" s="9"/>
    </row>
    <row r="3" spans="1:4" x14ac:dyDescent="0.25">
      <c r="A3" t="s">
        <v>25</v>
      </c>
      <c r="B3" s="2"/>
      <c r="C3" t="s">
        <v>26</v>
      </c>
      <c r="D3" s="2"/>
    </row>
    <row r="4" spans="1:4" x14ac:dyDescent="0.25">
      <c r="A4" t="s">
        <v>27</v>
      </c>
      <c r="B4" s="2"/>
      <c r="C4" t="s">
        <v>28</v>
      </c>
      <c r="D4" s="2"/>
    </row>
    <row r="6" spans="1:4" ht="15.75" x14ac:dyDescent="0.25">
      <c r="A6" s="10" t="s">
        <v>29</v>
      </c>
      <c r="B6" s="9"/>
      <c r="C6" s="9"/>
      <c r="D6" s="9"/>
    </row>
    <row r="7" spans="1:4" x14ac:dyDescent="0.25">
      <c r="A7" s="3" t="s">
        <v>30</v>
      </c>
      <c r="B7" s="2"/>
      <c r="C7" s="3" t="s">
        <v>31</v>
      </c>
      <c r="D7" s="2"/>
    </row>
    <row r="8" spans="1:4" x14ac:dyDescent="0.25">
      <c r="A8" s="3" t="s">
        <v>32</v>
      </c>
      <c r="B8" s="2"/>
      <c r="C8" s="3" t="s">
        <v>31</v>
      </c>
      <c r="D8" s="2"/>
    </row>
    <row r="9" spans="1:4" x14ac:dyDescent="0.25">
      <c r="A9" s="3" t="s">
        <v>33</v>
      </c>
      <c r="B9" s="2"/>
      <c r="C9" s="3" t="s">
        <v>34</v>
      </c>
      <c r="D9" s="2"/>
    </row>
    <row r="10" spans="1:4" x14ac:dyDescent="0.25">
      <c r="A10" s="3"/>
      <c r="B10" s="2"/>
      <c r="C10" s="3"/>
      <c r="D10" s="2"/>
    </row>
    <row r="11" spans="1:4" x14ac:dyDescent="0.25">
      <c r="A11" s="3" t="s">
        <v>35</v>
      </c>
      <c r="B11" s="2" t="str">
        <f>IF(AND(ISNUMBER(B7),ISNUMBER(B8)),B7-B8,"")</f>
        <v/>
      </c>
      <c r="C11" s="3" t="s">
        <v>36</v>
      </c>
      <c r="D11" s="2" t="str">
        <f>IF(ISNUMBER(B11),B11,"")</f>
        <v/>
      </c>
    </row>
    <row r="12" spans="1:4" x14ac:dyDescent="0.25">
      <c r="A12" s="3" t="s">
        <v>37</v>
      </c>
      <c r="B12" s="2"/>
      <c r="C12" s="3" t="s">
        <v>38</v>
      </c>
      <c r="D12" s="2" t="str">
        <f>IF(AND(ISNUMBER(A8),ISNUMBER(B11)),A8+B11,"")</f>
        <v/>
      </c>
    </row>
    <row r="14" spans="1:4" x14ac:dyDescent="0.25">
      <c r="A14" s="3" t="s">
        <v>39</v>
      </c>
      <c r="B14" s="11"/>
      <c r="C14" s="9"/>
      <c r="D14" s="9"/>
    </row>
    <row r="15" spans="1:4" x14ac:dyDescent="0.25">
      <c r="A15" s="3" t="s">
        <v>40</v>
      </c>
      <c r="B15" s="11"/>
      <c r="C15" s="9"/>
      <c r="D15" s="9"/>
    </row>
    <row r="16" spans="1:4" x14ac:dyDescent="0.25">
      <c r="A16" s="3" t="s">
        <v>41</v>
      </c>
      <c r="B16" s="11"/>
      <c r="C16" s="9"/>
      <c r="D16" s="9"/>
    </row>
    <row r="18" spans="1:4" ht="15.75" x14ac:dyDescent="0.25">
      <c r="A18" s="10" t="s">
        <v>42</v>
      </c>
      <c r="B18" s="9"/>
      <c r="C18" s="9"/>
      <c r="D18" s="9"/>
    </row>
    <row r="19" spans="1:4" x14ac:dyDescent="0.25">
      <c r="A19" s="4" t="s">
        <v>43</v>
      </c>
    </row>
    <row r="28" spans="1:4" ht="15.75" x14ac:dyDescent="0.25">
      <c r="A28" s="10" t="s">
        <v>44</v>
      </c>
      <c r="B28" s="9"/>
      <c r="C28" s="9"/>
      <c r="D28" s="9"/>
    </row>
    <row r="29" spans="1:4" x14ac:dyDescent="0.25">
      <c r="A29" s="4" t="s">
        <v>43</v>
      </c>
    </row>
    <row r="38" spans="1:4" ht="15.75" x14ac:dyDescent="0.25">
      <c r="A38" s="10" t="s">
        <v>45</v>
      </c>
      <c r="B38" s="9"/>
      <c r="C38" s="9"/>
      <c r="D38" s="9"/>
    </row>
    <row r="39" spans="1:4" x14ac:dyDescent="0.25">
      <c r="A39" s="4" t="s">
        <v>43</v>
      </c>
    </row>
  </sheetData>
  <mergeCells count="8">
    <mergeCell ref="A1:D1"/>
    <mergeCell ref="A18:D18"/>
    <mergeCell ref="B14:D14"/>
    <mergeCell ref="A6:D6"/>
    <mergeCell ref="A38:D38"/>
    <mergeCell ref="B15:D15"/>
    <mergeCell ref="A28:D28"/>
    <mergeCell ref="B16:D1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4"/>
  <sheetViews>
    <sheetView workbookViewId="0"/>
  </sheetViews>
  <sheetFormatPr defaultRowHeight="15" x14ac:dyDescent="0.25"/>
  <cols>
    <col min="1" max="1" width="25" customWidth="1"/>
    <col min="2" max="2" width="20" customWidth="1"/>
    <col min="3" max="3" width="15" customWidth="1"/>
  </cols>
  <sheetData>
    <row r="1" spans="1:3" ht="18.75" x14ac:dyDescent="0.3">
      <c r="A1" s="8" t="s">
        <v>46</v>
      </c>
      <c r="B1" s="9"/>
      <c r="C1" s="9"/>
    </row>
    <row r="3" spans="1:3" x14ac:dyDescent="0.25">
      <c r="A3" s="3" t="s">
        <v>47</v>
      </c>
      <c r="B3" s="2"/>
      <c r="C3" s="5" t="s">
        <v>48</v>
      </c>
    </row>
    <row r="4" spans="1:3" x14ac:dyDescent="0.25">
      <c r="A4" s="3" t="s">
        <v>49</v>
      </c>
      <c r="B4" s="6"/>
    </row>
    <row r="6" spans="1:3" ht="15.75" x14ac:dyDescent="0.25">
      <c r="A6" s="10" t="s">
        <v>50</v>
      </c>
      <c r="B6" s="9"/>
      <c r="C6" s="9"/>
    </row>
    <row r="7" spans="1:3" x14ac:dyDescent="0.25">
      <c r="A7" s="3" t="s">
        <v>51</v>
      </c>
      <c r="B7" s="6"/>
      <c r="C7" t="s">
        <v>52</v>
      </c>
    </row>
    <row r="8" spans="1:3" x14ac:dyDescent="0.25">
      <c r="A8" s="3" t="s">
        <v>53</v>
      </c>
      <c r="B8" s="6"/>
      <c r="C8" t="s">
        <v>52</v>
      </c>
    </row>
    <row r="9" spans="1:3" x14ac:dyDescent="0.25">
      <c r="A9" s="3" t="s">
        <v>54</v>
      </c>
      <c r="B9" s="6"/>
      <c r="C9" t="s">
        <v>52</v>
      </c>
    </row>
    <row r="10" spans="1:3" x14ac:dyDescent="0.25">
      <c r="A10" s="3" t="s">
        <v>55</v>
      </c>
      <c r="B10" s="7">
        <f>IF(B7&gt;0,B8/B7,0)</f>
        <v>0</v>
      </c>
      <c r="C10" t="s">
        <v>56</v>
      </c>
    </row>
    <row r="11" spans="1:3" x14ac:dyDescent="0.25">
      <c r="A11" s="3"/>
      <c r="B11" s="6"/>
    </row>
    <row r="12" spans="1:3" x14ac:dyDescent="0.25">
      <c r="A12" s="3" t="s">
        <v>57</v>
      </c>
      <c r="B12" s="6"/>
      <c r="C12" t="s">
        <v>58</v>
      </c>
    </row>
    <row r="13" spans="1:3" x14ac:dyDescent="0.25">
      <c r="A13" s="3" t="s">
        <v>59</v>
      </c>
      <c r="B13" s="6"/>
      <c r="C13" t="s">
        <v>58</v>
      </c>
    </row>
    <row r="14" spans="1:3" x14ac:dyDescent="0.25">
      <c r="A14" s="3" t="s">
        <v>60</v>
      </c>
      <c r="B14" s="7">
        <f>IF(B4&gt;0,B13/B4,0)</f>
        <v>0</v>
      </c>
      <c r="C14" t="s">
        <v>56</v>
      </c>
    </row>
    <row r="16" spans="1:3" ht="15.75" x14ac:dyDescent="0.25">
      <c r="A16" s="10" t="s">
        <v>61</v>
      </c>
      <c r="B16" s="9"/>
      <c r="C16" s="9"/>
    </row>
    <row r="17" spans="1:3" x14ac:dyDescent="0.25">
      <c r="A17" s="3" t="s">
        <v>62</v>
      </c>
      <c r="B17" s="11"/>
      <c r="C17" s="9"/>
    </row>
    <row r="18" spans="1:3" x14ac:dyDescent="0.25">
      <c r="A18" s="3" t="s">
        <v>63</v>
      </c>
      <c r="B18" s="11"/>
      <c r="C18" s="9"/>
    </row>
    <row r="19" spans="1:3" x14ac:dyDescent="0.25">
      <c r="A19" s="3" t="s">
        <v>64</v>
      </c>
      <c r="B19" s="11"/>
      <c r="C19" s="9"/>
    </row>
    <row r="21" spans="1:3" ht="15.75" x14ac:dyDescent="0.25">
      <c r="A21" s="10" t="s">
        <v>65</v>
      </c>
      <c r="B21" s="9"/>
      <c r="C21" s="9"/>
    </row>
    <row r="22" spans="1:3" x14ac:dyDescent="0.25">
      <c r="A22" s="3" t="s">
        <v>62</v>
      </c>
      <c r="B22" s="11"/>
      <c r="C22" s="9"/>
    </row>
    <row r="23" spans="1:3" x14ac:dyDescent="0.25">
      <c r="A23" s="3" t="s">
        <v>63</v>
      </c>
      <c r="B23" s="11"/>
      <c r="C23" s="9"/>
    </row>
    <row r="24" spans="1:3" x14ac:dyDescent="0.25">
      <c r="A24" s="3" t="s">
        <v>64</v>
      </c>
      <c r="B24" s="11"/>
      <c r="C24" s="9"/>
    </row>
  </sheetData>
  <mergeCells count="10">
    <mergeCell ref="B24:C24"/>
    <mergeCell ref="A1:C1"/>
    <mergeCell ref="B19:C19"/>
    <mergeCell ref="A6:C6"/>
    <mergeCell ref="B23:C23"/>
    <mergeCell ref="B22:C22"/>
    <mergeCell ref="A21:C21"/>
    <mergeCell ref="B17:C17"/>
    <mergeCell ref="B18:C18"/>
    <mergeCell ref="A16:C1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Daily Trade Log</vt:lpstr>
      <vt:lpstr>Spread Entry Tracker</vt:lpstr>
      <vt:lpstr>Weekly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Saurav Baunthiyal</cp:lastModifiedBy>
  <dcterms:created xsi:type="dcterms:W3CDTF">2025-12-27T04:38:53Z</dcterms:created>
  <dcterms:modified xsi:type="dcterms:W3CDTF">2025-12-27T05:14:10Z</dcterms:modified>
</cp:coreProperties>
</file>